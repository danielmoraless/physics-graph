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ysics-graphs\"/>
    </mc:Choice>
  </mc:AlternateContent>
  <xr:revisionPtr revIDLastSave="0" documentId="13_ncr:1_{E8A3E1F9-231F-4DE4-8E0F-A7B67F04B205}" xr6:coauthVersionLast="47" xr6:coauthVersionMax="47" xr10:uidLastSave="{00000000-0000-0000-0000-000000000000}"/>
  <bookViews>
    <workbookView xWindow="-120" yWindow="-120" windowWidth="20730" windowHeight="11760" activeTab="8" xr2:uid="{92CE9620-F6EB-4642-991A-68F408009301}"/>
  </bookViews>
  <sheets>
    <sheet name="pendulo" sheetId="1" r:id="rId1"/>
    <sheet name="resorte" sheetId="2" r:id="rId2"/>
    <sheet name="analisis" sheetId="3" r:id="rId3"/>
    <sheet name="analisis2" sheetId="4" r:id="rId4"/>
    <sheet name="P31" sheetId="6" r:id="rId5"/>
    <sheet name="P38" sheetId="7" r:id="rId6"/>
    <sheet name="P44" sheetId="8" r:id="rId7"/>
    <sheet name="P56" sheetId="5" r:id="rId8"/>
    <sheet name="P57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2" l="1"/>
  <c r="A5" i="2"/>
  <c r="A4" i="2"/>
  <c r="A3" i="2"/>
</calcChain>
</file>

<file path=xl/sharedStrings.xml><?xml version="1.0" encoding="utf-8"?>
<sst xmlns="http://schemas.openxmlformats.org/spreadsheetml/2006/main" count="24" uniqueCount="19">
  <si>
    <t>L</t>
  </si>
  <si>
    <t>t</t>
  </si>
  <si>
    <t>W</t>
  </si>
  <si>
    <t>d</t>
  </si>
  <si>
    <t>p0.7</t>
  </si>
  <si>
    <t>p1.5</t>
  </si>
  <si>
    <t>p2.1</t>
  </si>
  <si>
    <t>p3.2</t>
  </si>
  <si>
    <t>p</t>
  </si>
  <si>
    <t>q1</t>
  </si>
  <si>
    <t>q1.5</t>
  </si>
  <si>
    <t>q2.0</t>
  </si>
  <si>
    <t>q4.0</t>
  </si>
  <si>
    <t>Q</t>
  </si>
  <si>
    <t>V</t>
  </si>
  <si>
    <t>r</t>
  </si>
  <si>
    <t>A</t>
  </si>
  <si>
    <t>E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</si>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</sst>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E+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01501-3B7E-4C31-8AE0-79CD78E2980E}">
  <dimension ref="A1:B6"/>
  <sheetViews>
    <sheetView workbookViewId="0">
      <selection activeCell="B2" sqref="B2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>
        <v>100</v>
      </c>
      <c r="B2">
        <v>1.96</v>
      </c>
    </row>
    <row r="3" spans="1:2" x14ac:dyDescent="0.25">
      <c r="A3">
        <v>90</v>
      </c>
      <c r="B3">
        <v>1.86</v>
      </c>
    </row>
    <row r="4" spans="1:2" x14ac:dyDescent="0.25">
      <c r="A4">
        <v>80</v>
      </c>
      <c r="B4">
        <v>1.74</v>
      </c>
    </row>
    <row r="5" spans="1:2" x14ac:dyDescent="0.25">
      <c r="A5">
        <v>70</v>
      </c>
      <c r="B5">
        <v>1.61</v>
      </c>
    </row>
    <row r="6" spans="1:2" x14ac:dyDescent="0.25">
      <c r="A6">
        <v>60</v>
      </c>
      <c r="B6">
        <v>1.48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13189-0E87-4E06-983D-D5A70EEAE1B6}">
  <dimension ref="A1:B6"/>
  <sheetViews>
    <sheetView workbookViewId="0">
      <selection activeCell="G14" sqref="G14"/>
    </sheetView>
  </sheetViews>
  <sheetFormatPr baseColWidth="10" defaultRowHeight="15" x14ac:dyDescent="0.25"/>
  <sheetData>
    <row r="1" spans="1:2" x14ac:dyDescent="0.25">
      <c r="A1" t="s">
        <v>2</v>
      </c>
      <c r="B1" t="s">
        <v>3</v>
      </c>
    </row>
    <row r="2" spans="1:2" x14ac:dyDescent="0.25">
      <c r="A2">
        <v>6.33</v>
      </c>
      <c r="B2">
        <v>0.3</v>
      </c>
    </row>
    <row r="3" spans="1:2" x14ac:dyDescent="0.25">
      <c r="A3">
        <f>A2+5.28</f>
        <v>11.61</v>
      </c>
      <c r="B3">
        <v>0.5</v>
      </c>
    </row>
    <row r="4" spans="1:2" x14ac:dyDescent="0.25">
      <c r="A4">
        <f>A3+7.31</f>
        <v>18.919999999999998</v>
      </c>
      <c r="B4">
        <v>0.8</v>
      </c>
    </row>
    <row r="5" spans="1:2" x14ac:dyDescent="0.25">
      <c r="A5">
        <f>A4+6.36</f>
        <v>25.279999999999998</v>
      </c>
      <c r="B5">
        <v>1</v>
      </c>
    </row>
    <row r="6" spans="1:2" x14ac:dyDescent="0.25">
      <c r="A6">
        <f>A5+7.02</f>
        <v>32.299999999999997</v>
      </c>
      <c r="B6">
        <v>1.3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FB347-92AA-4E4B-BC3A-5C72D03CB11D}">
  <dimension ref="A1:E5"/>
  <sheetViews>
    <sheetView workbookViewId="0">
      <selection activeCell="D2" sqref="D2"/>
    </sheetView>
  </sheetViews>
  <sheetFormatPr baseColWidth="10" defaultRowHeight="15" x14ac:dyDescent="0.25"/>
  <sheetData>
    <row r="1" spans="1:5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5" x14ac:dyDescent="0.25">
      <c r="A2" s="2">
        <v>1</v>
      </c>
      <c r="B2" s="1">
        <v>25</v>
      </c>
      <c r="C2">
        <v>16.5</v>
      </c>
      <c r="D2" s="1">
        <v>14</v>
      </c>
      <c r="E2" s="1">
        <v>11</v>
      </c>
    </row>
    <row r="3" spans="1:5" x14ac:dyDescent="0.25">
      <c r="A3">
        <v>1.5</v>
      </c>
      <c r="B3">
        <v>52.5</v>
      </c>
      <c r="C3">
        <v>35.799999999999997</v>
      </c>
      <c r="D3">
        <v>30.5</v>
      </c>
      <c r="E3">
        <v>24.8</v>
      </c>
    </row>
    <row r="4" spans="1:5" x14ac:dyDescent="0.25">
      <c r="A4" s="2">
        <v>2</v>
      </c>
      <c r="B4" s="1">
        <v>95</v>
      </c>
      <c r="C4">
        <v>65.2</v>
      </c>
      <c r="D4">
        <v>55.1</v>
      </c>
      <c r="E4" s="2">
        <v>45</v>
      </c>
    </row>
    <row r="5" spans="1:5" x14ac:dyDescent="0.25">
      <c r="A5" s="1">
        <v>4</v>
      </c>
      <c r="B5" s="1">
        <v>381</v>
      </c>
      <c r="C5">
        <v>261.10000000000002</v>
      </c>
      <c r="D5">
        <v>231.1</v>
      </c>
      <c r="E5" s="1">
        <v>179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0D31A-D35C-4EB5-98AA-BA2FCBF89916}">
  <dimension ref="A1:E5"/>
  <sheetViews>
    <sheetView workbookViewId="0">
      <selection activeCell="G12" sqref="G12"/>
    </sheetView>
  </sheetViews>
  <sheetFormatPr baseColWidth="10" defaultRowHeight="15" x14ac:dyDescent="0.25"/>
  <sheetData>
    <row r="1" spans="1:5" x14ac:dyDescent="0.25">
      <c r="A1" t="s">
        <v>8</v>
      </c>
      <c r="B1" t="s">
        <v>9</v>
      </c>
      <c r="C1" t="s">
        <v>10</v>
      </c>
      <c r="D1" t="s">
        <v>11</v>
      </c>
      <c r="E1" t="s">
        <v>12</v>
      </c>
    </row>
    <row r="2" spans="1:5" x14ac:dyDescent="0.25">
      <c r="A2">
        <v>0.7</v>
      </c>
      <c r="B2" s="1">
        <v>25</v>
      </c>
      <c r="C2">
        <v>52.5</v>
      </c>
      <c r="D2" s="1">
        <v>95</v>
      </c>
      <c r="E2" s="1">
        <v>381</v>
      </c>
    </row>
    <row r="3" spans="1:5" x14ac:dyDescent="0.25">
      <c r="A3">
        <v>1.5</v>
      </c>
      <c r="B3">
        <v>16.5</v>
      </c>
      <c r="C3">
        <v>35.799999999999997</v>
      </c>
      <c r="D3">
        <v>65.2</v>
      </c>
      <c r="E3">
        <v>261.10000000000002</v>
      </c>
    </row>
    <row r="4" spans="1:5" x14ac:dyDescent="0.25">
      <c r="A4">
        <v>2.1</v>
      </c>
      <c r="B4" s="2">
        <v>14</v>
      </c>
      <c r="C4">
        <v>30.5</v>
      </c>
      <c r="D4">
        <v>55.1</v>
      </c>
      <c r="E4">
        <v>231.1</v>
      </c>
    </row>
    <row r="5" spans="1:5" x14ac:dyDescent="0.25">
      <c r="A5">
        <v>3.2</v>
      </c>
      <c r="B5" s="2">
        <v>11</v>
      </c>
      <c r="C5">
        <v>24.8</v>
      </c>
      <c r="D5" s="2">
        <v>45</v>
      </c>
      <c r="E5" s="2">
        <v>179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43885-C397-4520-8D5F-23D5BCB817C1}">
  <dimension ref="A1:B6"/>
  <sheetViews>
    <sheetView workbookViewId="0">
      <selection activeCell="C7" sqref="C7"/>
    </sheetView>
  </sheetViews>
  <sheetFormatPr baseColWidth="10" defaultRowHeight="15" x14ac:dyDescent="0.25"/>
  <sheetData>
    <row r="1" spans="1:2" x14ac:dyDescent="0.25">
      <c r="A1" t="s">
        <v>1</v>
      </c>
      <c r="B1" t="s">
        <v>14</v>
      </c>
    </row>
    <row r="2" spans="1:2" x14ac:dyDescent="0.25">
      <c r="A2" s="1">
        <v>0</v>
      </c>
      <c r="B2">
        <v>22</v>
      </c>
    </row>
    <row r="3" spans="1:2" x14ac:dyDescent="0.25">
      <c r="A3" s="1">
        <v>4</v>
      </c>
      <c r="B3">
        <v>18</v>
      </c>
    </row>
    <row r="4" spans="1:2" x14ac:dyDescent="0.25">
      <c r="A4" s="1">
        <v>6</v>
      </c>
      <c r="B4">
        <v>16</v>
      </c>
    </row>
    <row r="5" spans="1:2" x14ac:dyDescent="0.25">
      <c r="A5" s="1">
        <v>8</v>
      </c>
      <c r="B5">
        <v>14</v>
      </c>
    </row>
    <row r="6" spans="1:2" x14ac:dyDescent="0.25">
      <c r="A6" s="1">
        <v>20</v>
      </c>
      <c r="B6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D5067-9C1B-4878-A52D-4292CCFD53DC}">
  <dimension ref="A1:B7"/>
  <sheetViews>
    <sheetView workbookViewId="0">
      <selection activeCell="A2" sqref="A2:A7"/>
    </sheetView>
  </sheetViews>
  <sheetFormatPr baseColWidth="10" defaultRowHeight="15" x14ac:dyDescent="0.25"/>
  <sheetData>
    <row r="1" spans="1:2" x14ac:dyDescent="0.25">
      <c r="A1" t="s">
        <v>15</v>
      </c>
      <c r="B1" t="s">
        <v>16</v>
      </c>
    </row>
    <row r="2" spans="1:2" x14ac:dyDescent="0.25">
      <c r="A2" s="1">
        <v>3</v>
      </c>
      <c r="B2">
        <v>28</v>
      </c>
    </row>
    <row r="3" spans="1:2" x14ac:dyDescent="0.25">
      <c r="A3" s="1">
        <v>5</v>
      </c>
      <c r="B3">
        <v>78</v>
      </c>
    </row>
    <row r="4" spans="1:2" x14ac:dyDescent="0.25">
      <c r="A4" s="1">
        <v>7</v>
      </c>
      <c r="B4">
        <v>154</v>
      </c>
    </row>
    <row r="5" spans="1:2" x14ac:dyDescent="0.25">
      <c r="A5" s="1">
        <v>9</v>
      </c>
      <c r="B5">
        <v>254</v>
      </c>
    </row>
    <row r="6" spans="1:2" x14ac:dyDescent="0.25">
      <c r="A6" s="1">
        <v>10</v>
      </c>
      <c r="B6">
        <v>314</v>
      </c>
    </row>
    <row r="7" spans="1:2" x14ac:dyDescent="0.25">
      <c r="A7" s="1">
        <v>13</v>
      </c>
      <c r="B7">
        <v>531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A10E9-2583-4B39-B9C5-AA127B6B4577}">
  <dimension ref="A1:B6"/>
  <sheetViews>
    <sheetView workbookViewId="0">
      <selection activeCell="B7" sqref="B7"/>
    </sheetView>
  </sheetViews>
  <sheetFormatPr baseColWidth="10" defaultRowHeight="15" x14ac:dyDescent="0.25"/>
  <sheetData>
    <row r="1" spans="1:2" x14ac:dyDescent="0.25">
      <c r="A1" t="s">
        <v>3</v>
      </c>
      <c r="B1" t="s">
        <v>17</v>
      </c>
    </row>
    <row r="2" spans="1:2" x14ac:dyDescent="0.25">
      <c r="A2">
        <v>0.5</v>
      </c>
      <c r="B2">
        <v>200</v>
      </c>
    </row>
    <row r="3" spans="1:2" x14ac:dyDescent="0.25">
      <c r="A3">
        <v>0.75</v>
      </c>
      <c r="B3">
        <v>89</v>
      </c>
    </row>
    <row r="4" spans="1:2" x14ac:dyDescent="0.25">
      <c r="A4">
        <v>1.25</v>
      </c>
      <c r="B4">
        <v>32</v>
      </c>
    </row>
    <row r="5" spans="1:2" x14ac:dyDescent="0.25">
      <c r="A5">
        <v>1.5</v>
      </c>
      <c r="B5">
        <v>22</v>
      </c>
    </row>
    <row r="6" spans="1:2" x14ac:dyDescent="0.25">
      <c r="A6">
        <v>1.75</v>
      </c>
      <c r="B6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73DD2-437F-4A78-B9CF-AA3B096D2CB6}">
  <dimension ref="A1:B7"/>
  <sheetViews>
    <sheetView workbookViewId="0">
      <selection activeCell="F16" sqref="F16"/>
    </sheetView>
  </sheetViews>
  <sheetFormatPr baseColWidth="10" defaultRowHeight="15" x14ac:dyDescent="0.25"/>
  <sheetData>
    <row r="1" spans="1:2" x14ac:dyDescent="0.25">
      <c r="A1" t="s">
        <v>1</v>
      </c>
      <c r="B1" t="s">
        <v>13</v>
      </c>
    </row>
    <row r="2" spans="1:2" x14ac:dyDescent="0.25">
      <c r="A2">
        <v>10</v>
      </c>
      <c r="B2">
        <v>74.099999999999994</v>
      </c>
    </row>
    <row r="3" spans="1:2" x14ac:dyDescent="0.25">
      <c r="A3">
        <v>40</v>
      </c>
      <c r="B3">
        <v>30.1</v>
      </c>
    </row>
    <row r="4" spans="1:2" x14ac:dyDescent="0.25">
      <c r="A4">
        <v>60</v>
      </c>
      <c r="B4">
        <v>16.5</v>
      </c>
    </row>
    <row r="5" spans="1:2" x14ac:dyDescent="0.25">
      <c r="A5">
        <v>90</v>
      </c>
      <c r="B5">
        <v>6.7</v>
      </c>
    </row>
    <row r="6" spans="1:2" x14ac:dyDescent="0.25">
      <c r="A6">
        <v>100</v>
      </c>
      <c r="B6" s="1">
        <v>5</v>
      </c>
    </row>
    <row r="7" spans="1:2" x14ac:dyDescent="0.25">
      <c r="A7">
        <v>150</v>
      </c>
      <c r="B7">
        <v>1.1000000000000001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61C57-D69E-4F9D-B098-F5D5382D2371}">
  <dimension ref="A1:B6"/>
  <sheetViews>
    <sheetView tabSelected="1" workbookViewId="0">
      <selection activeCell="D7" sqref="D7"/>
    </sheetView>
  </sheetViews>
  <sheetFormatPr baseColWidth="10" defaultRowHeight="15" x14ac:dyDescent="0.25"/>
  <sheetData>
    <row r="1" spans="1:2" x14ac:dyDescent="0.25">
      <c r="A1" t="s">
        <v>1</v>
      </c>
      <c r="B1" t="s">
        <v>18</v>
      </c>
    </row>
    <row r="2" spans="1:2" x14ac:dyDescent="0.25">
      <c r="A2">
        <v>0</v>
      </c>
      <c r="B2" s="3">
        <v>1177000</v>
      </c>
    </row>
    <row r="3" spans="1:2" x14ac:dyDescent="0.25">
      <c r="A3">
        <v>10</v>
      </c>
      <c r="B3" s="3">
        <v>1438000</v>
      </c>
    </row>
    <row r="4" spans="1:2" x14ac:dyDescent="0.25">
      <c r="A4">
        <v>20</v>
      </c>
      <c r="B4" s="3">
        <v>1756000</v>
      </c>
    </row>
    <row r="5" spans="1:2" x14ac:dyDescent="0.25">
      <c r="A5">
        <v>30</v>
      </c>
      <c r="B5" s="3">
        <v>2144000</v>
      </c>
    </row>
    <row r="6" spans="1:2" x14ac:dyDescent="0.25">
      <c r="A6">
        <v>50</v>
      </c>
      <c r="B6" s="3">
        <v>3199000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pendulo</vt:lpstr>
      <vt:lpstr>resorte</vt:lpstr>
      <vt:lpstr>analisis</vt:lpstr>
      <vt:lpstr>analisis2</vt:lpstr>
      <vt:lpstr>P31</vt:lpstr>
      <vt:lpstr>P38</vt:lpstr>
      <vt:lpstr>P44</vt:lpstr>
      <vt:lpstr>P56</vt:lpstr>
      <vt:lpstr>P57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Morales</dc:creator>
  <cp:lastModifiedBy>Daniel Morales</cp:lastModifiedBy>
  <dcterms:created xsi:type="dcterms:W3CDTF">2025-06-01T02:53:51Z</dcterms:created>
  <dcterms:modified xsi:type="dcterms:W3CDTF">2025-06-02T03:23:27Z</dcterms:modified>
</cp:coreProperties>
</file>